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ca753fe22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1330b79af1d4cfd"/>
    <x:sheet xmlns:r="http://schemas.openxmlformats.org/officeDocument/2006/relationships" name="Forecast" sheetId="2" r:id="R9f1cf06c5a1747e9"/>
    <x:sheet xmlns:r="http://schemas.openxmlformats.org/officeDocument/2006/relationships" name="DCF Matrix" sheetId="3" r:id="R5bf040a642024cc7"/>
    <x:sheet xmlns:r="http://schemas.openxmlformats.org/officeDocument/2006/relationships" name="EV to Equity Bridge" sheetId="4" r:id="R0256153c1663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;[Red](0.00)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b5a0b925843bf" /><Relationship Type="http://schemas.openxmlformats.org/officeDocument/2006/relationships/theme" Target="/xl/theme/theme1.xml" Id="Rdba2a0c8053b497f" /><Relationship Type="http://schemas.openxmlformats.org/officeDocument/2006/relationships/sharedStrings" Target="/xl/sharedStrings.xml" Id="Rb80084d889344f2c" /><Relationship Type="http://schemas.openxmlformats.org/officeDocument/2006/relationships/worksheet" Target="/xl/worksheets/sheet1.xml" Id="R81330b79af1d4cfd" /><Relationship Type="http://schemas.openxmlformats.org/officeDocument/2006/relationships/worksheet" Target="/xl/worksheets/sheet2.xml" Id="R9f1cf06c5a1747e9" /><Relationship Type="http://schemas.openxmlformats.org/officeDocument/2006/relationships/worksheet" Target="/xl/worksheets/sheet3.xml" Id="R5bf040a642024cc7" /><Relationship Type="http://schemas.openxmlformats.org/officeDocument/2006/relationships/worksheet" Target="/xl/worksheets/sheet4.xml" Id="R0256153c1663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6" t="str">
        <x:v>QUICKMART | DCF ASSUMPTIONS</x:v>
      </x:c>
      <x:c r="B1" s="6" t="str">
        <x:v>KES bn unless specified</x:v>
      </x:c>
      <x:c r="C1" s="6"/>
      <x:c r="D1" s="6"/>
      <x:c r="E1" s="6"/>
      <x:c r="F1" s="6"/>
      <x:c r="G1" s="6"/>
    </x:row>
    <x:row r="3">
      <x:c r="A3" t="str">
        <x:v>Valuation date</x:v>
      </x:c>
      <x:c r="B3" t="str">
        <x:v>12 October 2026</x:v>
      </x:c>
    </x:row>
    <x:row r="4">
      <x:c r="A4" t="str">
        <x:v>Anchor forecast year</x:v>
      </x:c>
      <x:c r="B4" t="n">
        <x:v>2027</x:v>
      </x:c>
    </x:row>
    <x:row r="5">
      <x:c r="A5" t="str">
        <x:v>Forecast WACC</x:v>
      </x:c>
      <x:c r="B5" t="n">
        <x:v>0.17</x:v>
      </x:c>
    </x:row>
    <x:row r="6">
      <x:c r="A6" t="str">
        <x:v>Terminal growth</x:v>
      </x:c>
      <x:c r="B6" t="n">
        <x:v>0.03</x:v>
      </x:c>
    </x:row>
    <x:row r="7">
      <x:c r="A7" t="str">
        <x:v>Corporate tax</x:v>
      </x:c>
      <x:c r="B7" t="n">
        <x:v>0.3</x:v>
      </x:c>
    </x:row>
    <x:row r="8">
      <x:c r="A8" t="str">
        <x:v>Total net debt including leases, Jun 2026</x:v>
      </x:c>
      <x:c r="B8" t="n">
        <x:v>7.272728</x:v>
      </x:c>
    </x:row>
    <x:row r="9">
      <x:c r="A9" t="str">
        <x:v>Lease liability allocation - analyst placeholder</x:v>
      </x:c>
      <x:c r="B9" t="n">
        <x:v>7.3</x:v>
      </x:c>
    </x:row>
    <x:row r="10">
      <x:c r="A10" t="str">
        <x:v>Nonlease net debt - derived</x:v>
      </x:c>
      <x:c r="B10" t="n">
        <x:v>-0.027271999999999963</x:v>
      </x:c>
    </x:row>
    <x:row r="11">
      <x:c r="A11" t="str">
        <x:v>Issued shares, billions</x:v>
      </x:c>
      <x:c r="B11" t="n">
        <x:v>4</x:v>
      </x:c>
    </x:row>
    <x:row r="12">
      <x:c r="A12" t="str">
        <x:v>IPO price KES</x:v>
      </x:c>
      <x:c r="B12" t="n">
        <x:v>7.5</x:v>
      </x:c>
    </x:row>
    <x:row r="13">
      <x:c r="A13" t="str">
        <x:v>2027 lease cash payment assumption</x:v>
      </x:c>
      <x:c r="B13" t="n">
        <x:v>2.05</x:v>
      </x:c>
    </x:row>
    <x:row r="14">
      <x:c r="A14" t="str">
        <x:v>2028-32 revenue growth</x:v>
      </x:c>
      <x:c r="B14" t="str">
        <x:v>12%, 10%, 8.5%, 7%, 6%</x:v>
      </x:c>
    </x:row>
    <x:row r="15">
      <x:c r="A15" t="str">
        <x:v>2028-32 EBIT margin</x:v>
      </x:c>
      <x:c r="B15" t="str">
        <x:v>8.2%, 8.1%, 8.0%, 7.9%, 7.8%</x:v>
      </x:c>
    </x:row>
    <x:row r="16">
      <x:c r="A16" t="str">
        <x:v>Working capital cash use</x:v>
      </x:c>
      <x:c r="B16" t="str">
        <x:v>0.5% of incremental sales</x:v>
      </x:c>
    </x:row>
    <x:row r="17">
      <x:c r="A17" t="str">
        <x:v>Model convention</x:v>
      </x:c>
      <x:c r="B17" t="str">
        <x:v>End-2026 valuation; FY2027 first full cash-flow period</x:v>
      </x:c>
    </x:row>
    <x:row r="18">
      <x:c r="A18" t="str">
        <x:v>2026/27 management forecast</x:v>
      </x:c>
      <x:c r="B18" t="str">
        <x:v>Information Memorandum p.136-137</x:v>
      </x:c>
    </x:row>
    <x:row r="19">
      <x:c r="A19" t="str">
        <x:v>Caution</x:v>
      </x:c>
      <x:c r="B19" t="str">
        <x:v>Lease liability allocation and rent are NOT verified; scenario not price target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6" t="str">
        <x:v>KES bn / FY</x:v>
      </x:c>
      <x:c r="B1" s="6" t="n">
        <x:v>2027</x:v>
      </x:c>
      <x:c r="C1" s="6" t="n">
        <x:v>2028</x:v>
      </x:c>
      <x:c r="D1" s="6" t="n">
        <x:v>2029</x:v>
      </x:c>
      <x:c r="E1" s="6" t="n">
        <x:v>2030</x:v>
      </x:c>
      <x:c r="F1" s="6" t="n">
        <x:v>2031</x:v>
      </x:c>
      <x:c r="G1" s="6" t="n">
        <x:v>2032</x:v>
      </x:c>
    </x:row>
    <x:row r="2">
      <x:c r="B2" s="8"/>
      <x:c r="C2" s="8"/>
      <x:c r="D2" s="8"/>
      <x:c r="E2" s="8"/>
      <x:c r="F2" s="8"/>
      <x:c r="G2" s="8"/>
    </x:row>
    <x:row r="3">
      <x:c r="A3" t="str">
        <x:v>Revenue</x:v>
      </x:c>
      <x:c r="B3" s="8" t="n">
        <x:v>67.435723</x:v>
      </x:c>
      <x:c r="C3" s="8" t="n">
        <x:v>75.52800976</x:v>
      </x:c>
      <x:c r="D3" s="8" t="n">
        <x:v>83.080810736</x:v>
      </x:c>
      <x:c r="E3" s="8" t="n">
        <x:v>90.14267964856</x:v>
      </x:c>
      <x:c r="F3" s="8" t="n">
        <x:v>96.45266722395921</x:v>
      </x:c>
      <x:c r="G3" s="8" t="n">
        <x:v>102.23982725739677</x:v>
      </x:c>
    </x:row>
    <x:row r="4">
      <x:c r="A4" t="str">
        <x:v>EBIT (IFRS 16)</x:v>
      </x:c>
      <x:c r="B4" s="8" t="n">
        <x:v>5.571191</x:v>
      </x:c>
      <x:c r="C4" s="8" t="n">
        <x:v>6.193296800320001</x:v>
      </x:c>
      <x:c r="D4" s="8" t="n">
        <x:v>6.729545669616001</x:v>
      </x:c>
      <x:c r="E4" s="8" t="n">
        <x:v>7.211414371884801</x:v>
      </x:c>
      <x:c r="F4" s="8" t="n">
        <x:v>7.619760710692778</x:v>
      </x:c>
      <x:c r="G4" s="8" t="n">
        <x:v>7.974706526076948</x:v>
      </x:c>
    </x:row>
    <x:row r="5">
      <x:c r="A5" t="str">
        <x:v>PPE + intangible D&amp;A</x:v>
      </x:c>
      <x:c r="B5" s="8" t="n">
        <x:v>0.982858</x:v>
      </x:c>
      <x:c r="C5" s="8" t="n">
        <x:v>1.1329201464</x:v>
      </x:c>
      <x:c r="D5" s="8" t="n">
        <x:v>1.24621216104</x:v>
      </x:c>
      <x:c r="E5" s="8" t="n">
        <x:v>1.3521401947284</x:v>
      </x:c>
      <x:c r="F5" s="8" t="n">
        <x:v>1.446790008359388</x:v>
      </x:c>
      <x:c r="G5" s="8" t="n">
        <x:v>1.5335974088609514</x:v>
      </x:c>
    </x:row>
    <x:row r="6">
      <x:c r="A6" t="str">
        <x:v>ROU depreciation</x:v>
      </x:c>
      <x:c r="B6" s="8" t="n">
        <x:v>1.205798</x:v>
      </x:c>
      <x:c r="C6" s="8" t="n">
        <x:v>1.2660879</x:v>
      </x:c>
      <x:c r="D6" s="8" t="n">
        <x:v>1.3293922950000001</x:v>
      </x:c>
      <x:c r="E6" s="8" t="n">
        <x:v>1.3958619097500002</x:v>
      </x:c>
      <x:c r="F6" s="8" t="n">
        <x:v>1.4656550052375004</x:v>
      </x:c>
      <x:c r="G6" s="8" t="n">
        <x:v>1.5389377554993755</x:v>
      </x:c>
    </x:row>
    <x:row r="7">
      <x:c r="A7" t="str">
        <x:v>Capex</x:v>
      </x:c>
      <x:c r="B7" s="8" t="n">
        <x:v>1.8</x:v>
      </x:c>
      <x:c r="C7" s="8" t="n">
        <x:v>2</x:v>
      </x:c>
      <x:c r="D7" s="8" t="n">
        <x:v>2.15</x:v>
      </x:c>
      <x:c r="E7" s="8" t="n">
        <x:v>2.2</x:v>
      </x:c>
      <x:c r="F7" s="8" t="n">
        <x:v>2.2</x:v>
      </x:c>
      <x:c r="G7" s="8" t="n">
        <x:v>2.2</x:v>
      </x:c>
    </x:row>
    <x:row r="8">
      <x:c r="A8" t="str">
        <x:v>Change in NWC (cash outflow)</x:v>
      </x:c>
      <x:c r="B8" s="8" t="n">
        <x:v>0</x:v>
      </x:c>
      <x:c r="C8" s="8" t="n">
        <x:v>0.040461433800000036</x:v>
      </x:c>
      <x:c r="D8" s="8" t="n">
        <x:v>0.03776400488</x:v>
      </x:c>
      <x:c r="E8" s="8" t="n">
        <x:v>0.03530934456280001</x:v>
      </x:c>
      <x:c r="F8" s="8" t="n">
        <x:v>0.031549937876996025</x:v>
      </x:c>
      <x:c r="G8" s="8" t="n">
        <x:v>0.028935800167187792</x:v>
      </x:c>
    </x:row>
    <x:row r="9">
      <x:c r="A9" t="str">
        <x:v>Cash rent proxy</x:v>
      </x:c>
      <x:c r="B9" s="8" t="n">
        <x:v>2.05</x:v>
      </x:c>
      <x:c r="C9" s="8" t="n">
        <x:v>2.1525</x:v>
      </x:c>
      <x:c r="D9" s="8" t="n">
        <x:v>2.260125</x:v>
      </x:c>
      <x:c r="E9" s="8" t="n">
        <x:v>2.37313125</x:v>
      </x:c>
      <x:c r="F9" s="8" t="n">
        <x:v>2.4917878125</x:v>
      </x:c>
      <x:c r="G9" s="8" t="n">
        <x:v>2.6163772031250003</x:v>
      </x:c>
    </x:row>
    <x:row r="10">
      <x:c r="A10" t="str">
        <x:v>Tax rate</x:v>
      </x:c>
      <x:c r="B10" s="8" t="n">
        <x:v>0.3</x:v>
      </x:c>
      <x:c r="C10" s="8" t="n">
        <x:v>0.3</x:v>
      </x:c>
      <x:c r="D10" s="8" t="n">
        <x:v>0.3</x:v>
      </x:c>
      <x:c r="E10" s="8" t="n">
        <x:v>0.3</x:v>
      </x:c>
      <x:c r="F10" s="8" t="n">
        <x:v>0.3</x:v>
      </x:c>
      <x:c r="G10" s="8" t="n">
        <x:v>0.3</x:v>
      </x:c>
    </x:row>
    <x:row r="11">
      <x:c r="A11" t="str">
        <x:v>FCFF post-IFRS16</x:v>
      </x:c>
      <x:c r="B11" s="8" t="n">
        <x:f>B4*(1-B10)+B5+B6-B7-B8</x:f>
        <x:v>4.2884896999999995</x:v>
      </x:c>
      <x:c r="C11" s="8" t="n">
        <x:f>C4*(1-C10)+C5+C6-C7-C8</x:f>
        <x:v>4.693854372824</x:v>
      </x:c>
      <x:c r="D11" s="8" t="n">
        <x:f>D4*(1-D10)+D5+D6-D7-D8</x:f>
        <x:v>5.0985224198912</x:v>
      </x:c>
      <x:c r="E11" s="8" t="n">
        <x:f>E4*(1-E10)+E5+E6-E7-E8</x:f>
        <x:v>5.560682820234961</x:v>
      </x:c>
      <x:c r="F11" s="8" t="n">
        <x:f>F4*(1-F10)+F5+F6-F7-F8</x:f>
        <x:v>6.014727573204836</x:v>
      </x:c>
      <x:c r="G11" s="8" t="n">
        <x:f>G4*(1-G10)+G5+G6-G7-G8</x:f>
        <x:v>6.425893932447001</x:v>
      </x:c>
    </x:row>
    <x:row r="12">
      <x:c r="A12" t="str">
        <x:v>FCFF pre-lease (economic rent)</x:v>
      </x:c>
      <x:c r="B12" s="8" t="n">
        <x:f>B11-B10*B6-(1-B10)*B9</x:f>
        <x:v>2.4917502999999996</x:v>
      </x:c>
      <x:c r="C12" s="8" t="n">
        <x:f>C11-C10*C6-(1-C10)*C9</x:f>
        <x:v>2.8072780028240003</x:v>
      </x:c>
      <x:c r="D12" s="8" t="n">
        <x:f>D11-D10*D6-(1-D10)*D9</x:f>
        <x:v>3.1176172313911996</x:v>
      </x:c>
      <x:c r="E12" s="8" t="n">
        <x:f>E11-E10*E6-(1-E10)*E9</x:f>
        <x:v>3.4807323723099604</x:v>
      </x:c>
      <x:c r="F12" s="8" t="n">
        <x:f>F11-F10*F6-(1-F10)*F9</x:f>
        <x:v>3.8307796028835863</x:v>
      </x:c>
      <x:c r="G12" s="8" t="n">
        <x:f>G11-G10*G6-(1-G10)*G9</x:f>
        <x:v>4.132748563609688</x:v>
      </x:c>
    </x:row>
    <x:row r="13">
      <x:c r="B13" s="8"/>
      <x:c r="C13" s="8"/>
      <x:c r="D13" s="8"/>
      <x:c r="E13" s="8"/>
      <x:c r="F13" s="8"/>
      <x:c r="G13" s="8"/>
    </x:row>
    <x:row r="14">
      <x:c r="B14" s="8"/>
      <x:c r="C14" s="8"/>
      <x:c r="D14" s="8"/>
      <x:c r="E14" s="8"/>
      <x:c r="F14" s="8"/>
      <x:c r="G14" s="8"/>
    </x:row>
    <x:row r="15">
      <x:c r="B15" s="8"/>
      <x:c r="C15" s="8"/>
      <x:c r="D15" s="8"/>
      <x:c r="E15" s="8"/>
      <x:c r="F15" s="8"/>
      <x:c r="G15" s="8"/>
    </x:row>
    <x:row r="16">
      <x:c r="B16" s="8"/>
      <x:c r="C16" s="8"/>
      <x:c r="D16" s="8"/>
      <x:c r="E16" s="8"/>
      <x:c r="F16" s="8"/>
      <x:c r="G16" s="8"/>
    </x:row>
    <x:row r="17">
      <x:c r="B17" s="8"/>
      <x:c r="C17" s="8"/>
      <x:c r="D17" s="8"/>
      <x:c r="E17" s="8"/>
      <x:c r="F17" s="8"/>
      <x:c r="G17" s="8"/>
    </x:row>
    <x:row r="18">
      <x:c r="B18" s="8"/>
      <x:c r="C18" s="8"/>
      <x:c r="D18" s="8"/>
      <x:c r="E18" s="8"/>
      <x:c r="F18" s="8"/>
      <x:c r="G18" s="8"/>
    </x:row>
    <x:row r="19">
      <x:c r="B19" s="8"/>
      <x:c r="C19" s="8"/>
      <x:c r="D19" s="8"/>
      <x:c r="E19" s="8"/>
      <x:c r="F19" s="8"/>
      <x:c r="G19" s="8"/>
    </x:row>
    <x:row r="20">
      <x:c r="B20" s="8"/>
      <x:c r="C20" s="8"/>
      <x:c r="D20" s="8"/>
      <x:c r="E20" s="8"/>
      <x:c r="F20" s="8"/>
      <x:c r="G2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6" t="str">
        <x:v>EV KES bn | WACC / g</x:v>
      </x:c>
      <x:c r="B1" s="6" t="n">
        <x:v>0.02</x:v>
      </x:c>
      <x:c r="C1" s="6" t="n">
        <x:v>0.03</x:v>
      </x:c>
      <x:c r="D1" s="6" t="n">
        <x:v>0.04</x:v>
      </x:c>
      <x:c r="E1" s="6" t="n">
        <x:v>0.05</x:v>
      </x:c>
      <x:c r="F1" s="6" t="str"/>
      <x:c r="G1" s="6"/>
    </x:row>
    <x:row r="2">
      <x:c r="A2" t="n">
        <x:v>0.13</x:v>
      </x:c>
      <x:c r="B2" s="8" t="n">
        <x:f>Forecast!B11/(1+$A2)^1+Forecast!C11/(1+$A2)^2+Forecast!D11/(1+$A2)^3+Forecast!E11/(1+$A2)^4+Forecast!F11/(1+$A2)^5+Forecast!G11/(1+$A2)^6+(Forecast!G11*(1+B$1)/($A2-B$1))/(1+$A2)^6</x:f>
        <x:v>49.38618123644993</x:v>
      </x:c>
      <x:c r="C2" s="8" t="n">
        <x:f>Forecast!B11/(1+$A2)^1+Forecast!C11/(1+$A2)^2+Forecast!D11/(1+$A2)^3+Forecast!E11/(1+$A2)^4+Forecast!F11/(1+$A2)^5+Forecast!G11/(1+$A2)^6+(Forecast!G11*(1+C$1)/($A2-C$1))/(1+$A2)^6</x:f>
        <x:v>52.556833763281006</x:v>
      </x:c>
      <x:c r="D2" s="8" t="n">
        <x:f>Forecast!B11/(1+$A2)^1+Forecast!C11/(1+$A2)^2+Forecast!D11/(1+$A2)^3+Forecast!E11/(1+$A2)^4+Forecast!F11/(1+$A2)^5+Forecast!G11/(1+$A2)^6+(Forecast!G11*(1+D$1)/($A2-D$1))/(1+$A2)^6</x:f>
        <x:v>56.43207574051899</x:v>
      </x:c>
      <x:c r="E2" s="8" t="n">
        <x:f>Forecast!B11/(1+$A2)^1+Forecast!C11/(1+$A2)^2+Forecast!D11/(1+$A2)^3+Forecast!E11/(1+$A2)^4+Forecast!F11/(1+$A2)^5+Forecast!G11/(1+$A2)^6+(Forecast!G11*(1+E$1)/($A2-E$1))/(1+$A2)^6</x:f>
        <x:v>61.27612821206645</x:v>
      </x:c>
      <x:c r="F2" s="8"/>
      <x:c r="G2" s="8"/>
    </x:row>
    <x:row r="3">
      <x:c r="A3" t="n">
        <x:v>0.15</x:v>
      </x:c>
      <x:c r="B3" s="8" t="n">
        <x:f>Forecast!B11/(1+$A3)^1+Forecast!C11/(1+$A3)^2+Forecast!D11/(1+$A3)^3+Forecast!E11/(1+$A3)^4+Forecast!F11/(1+$A3)^5+Forecast!G11/(1+$A3)^6+(Forecast!G11*(1+B$1)/($A3-B$1))/(1+$A3)^6</x:f>
        <x:v>41.37585487954307</x:v>
      </x:c>
      <x:c r="C3" s="8" t="n">
        <x:f>Forecast!B11/(1+$A3)^1+Forecast!C11/(1+$A3)^2+Forecast!D11/(1+$A3)^3+Forecast!E11/(1+$A3)^4+Forecast!F11/(1+$A3)^5+Forecast!G11/(1+$A3)^6+(Forecast!G11*(1+C$1)/($A3-C$1))/(1+$A3)^6</x:f>
        <x:v>43.42380678127839</x:v>
      </x:c>
      <x:c r="D3" s="8" t="n">
        <x:f>Forecast!B11/(1+$A3)^1+Forecast!C11/(1+$A3)^2+Forecast!D11/(1+$A3)^3+Forecast!E11/(1+$A3)^4+Forecast!F11/(1+$A3)^5+Forecast!G11/(1+$A3)^6+(Forecast!G11*(1+D$1)/($A3-D$1))/(1+$A3)^6</x:f>
        <x:v>45.84411357423831</x:v>
      </x:c>
      <x:c r="E3" s="8" t="n">
        <x:f>Forecast!B11/(1+$A3)^1+Forecast!C11/(1+$A3)^2+Forecast!D11/(1+$A3)^3+Forecast!E11/(1+$A3)^4+Forecast!F11/(1+$A3)^5+Forecast!G11/(1+$A3)^6+(Forecast!G11*(1+E$1)/($A3-E$1))/(1+$A3)^6</x:f>
        <x:v>48.7484817257902</x:v>
      </x:c>
      <x:c r="F3" s="8"/>
      <x:c r="G3" s="8"/>
    </x:row>
    <x:row r="4">
      <x:c r="A4" t="n">
        <x:v>0.17</x:v>
      </x:c>
      <x:c r="B4" s="8" t="n">
        <x:f>Forecast!B11/(1+$A4)^1+Forecast!C11/(1+$A4)^2+Forecast!D11/(1+$A4)^3+Forecast!E11/(1+$A4)^4+Forecast!F11/(1+$A4)^5+Forecast!G11/(1+$A4)^6+(Forecast!G11*(1+B$1)/($A4-B$1))/(1+$A4)^6</x:f>
        <x:v>35.52798953989701</x:v>
      </x:c>
      <x:c r="C4" s="8" t="n">
        <x:f>Forecast!B11/(1+$A4)^1+Forecast!C11/(1+$A4)^2+Forecast!D11/(1+$A4)^3+Forecast!E11/(1+$A4)^4+Forecast!F11/(1+$A4)^5+Forecast!G11/(1+$A4)^6+(Forecast!G11*(1+C$1)/($A4-C$1))/(1+$A4)^6</x:f>
        <x:v>36.92366662861964</x:v>
      </x:c>
      <x:c r="D4" s="8" t="n">
        <x:f>Forecast!B11/(1+$A4)^1+Forecast!C11/(1+$A4)^2+Forecast!D11/(1+$A4)^3+Forecast!E11/(1+$A4)^4+Forecast!F11/(1+$A4)^5+Forecast!G11/(1+$A4)^6+(Forecast!G11*(1+D$1)/($A4-D$1))/(1+$A4)^6</x:f>
        <x:v>38.53406326945345</x:v>
      </x:c>
      <x:c r="E4" s="8" t="n">
        <x:f>Forecast!B11/(1+$A4)^1+Forecast!C11/(1+$A4)^2+Forecast!D11/(1+$A4)^3+Forecast!E11/(1+$A4)^4+Forecast!F11/(1+$A4)^5+Forecast!G11/(1+$A4)^6+(Forecast!G11*(1+E$1)/($A4-E$1))/(1+$A4)^6</x:f>
        <x:v>40.41285935042622</x:v>
      </x:c>
      <x:c r="F4" s="8"/>
      <x:c r="G4" s="8"/>
    </x:row>
    <x:row r="5">
      <x:c r="A5" t="n">
        <x:v>0.19</x:v>
      </x:c>
      <x:c r="B5" s="8" t="n">
        <x:f>Forecast!B11/(1+$A5)^1+Forecast!C11/(1+$A5)^2+Forecast!D11/(1+$A5)^3+Forecast!E11/(1+$A5)^4+Forecast!F11/(1+$A5)^5+Forecast!G11/(1+$A5)^6+(Forecast!G11*(1+B$1)/($A5-B$1))/(1+$A5)^6</x:f>
        <x:v>31.077162842896723</x:v>
      </x:c>
      <x:c r="C5" s="8" t="n">
        <x:f>Forecast!B11/(1+$A5)^1+Forecast!C11/(1+$A5)^2+Forecast!D11/(1+$A5)^3+Forecast!E11/(1+$A5)^4+Forecast!F11/(1+$A5)^5+Forecast!G11/(1+$A5)^6+(Forecast!G11*(1+C$1)/($A5-C$1))/(1+$A5)^6</x:f>
        <x:v>32.06715064071337</x:v>
      </x:c>
      <x:c r="D5" s="8" t="n">
        <x:f>Forecast!B11/(1+$A5)^1+Forecast!C11/(1+$A5)^2+Forecast!D11/(1+$A5)^3+Forecast!E11/(1+$A5)^4+Forecast!F11/(1+$A5)^5+Forecast!G11/(1+$A5)^6+(Forecast!G11*(1+D$1)/($A5-D$1))/(1+$A5)^6</x:f>
        <x:v>33.18913681157225</x:v>
      </x:c>
      <x:c r="E5" s="8" t="n">
        <x:f>Forecast!B11/(1+$A5)^1+Forecast!C11/(1+$A5)^2+Forecast!D11/(1+$A5)^3+Forecast!E11/(1+$A5)^4+Forecast!F11/(1+$A5)^5+Forecast!G11/(1+$A5)^6+(Forecast!G11*(1+E$1)/($A5-E$1))/(1+$A5)^6</x:f>
        <x:v>34.471406721125234</x:v>
      </x:c>
      <x:c r="F5" s="8"/>
      <x:c r="G5" s="8"/>
    </x:row>
    <x:row r="6">
      <x:c r="A6" t="n">
        <x:v>0.21</x:v>
      </x:c>
      <x:c r="B6" s="8" t="n">
        <x:f>Forecast!B11/(1+$A6)^1+Forecast!C11/(1+$A6)^2+Forecast!D11/(1+$A6)^3+Forecast!E11/(1+$A6)^4+Forecast!F11/(1+$A6)^5+Forecast!G11/(1+$A6)^6+(Forecast!G11*(1+B$1)/($A6-B$1))/(1+$A6)^6</x:f>
        <x:v>27.580457127762994</x:v>
      </x:c>
      <x:c r="C6" s="8" t="n">
        <x:f>Forecast!B11/(1+$A6)^1+Forecast!C11/(1+$A6)^2+Forecast!D11/(1+$A6)^3+Forecast!E11/(1+$A6)^4+Forecast!F11/(1+$A6)^5+Forecast!G11/(1+$A6)^6+(Forecast!G11*(1+C$1)/($A6-C$1))/(1+$A6)^6</x:f>
        <x:v>28.304860719646296</x:v>
      </x:c>
      <x:c r="D6" s="8" t="n">
        <x:f>Forecast!B11/(1+$A6)^1+Forecast!C11/(1+$A6)^2+Forecast!D11/(1+$A6)^3+Forecast!E11/(1+$A6)^4+Forecast!F11/(1+$A6)^5+Forecast!G11/(1+$A6)^6+(Forecast!G11*(1+D$1)/($A6-D$1))/(1+$A6)^6</x:f>
        <x:v>29.114488263515867</x:v>
      </x:c>
      <x:c r="E6" s="8" t="n">
        <x:f>Forecast!B11/(1+$A6)^1+Forecast!C11/(1+$A6)^2+Forecast!D11/(1+$A6)^3+Forecast!E11/(1+$A6)^4+Forecast!F11/(1+$A6)^5+Forecast!G11/(1+$A6)^6+(Forecast!G11*(1+E$1)/($A6-E$1))/(1+$A6)^6</x:f>
        <x:v>30.025319250369137</x:v>
      </x:c>
      <x:c r="F6" s="8"/>
      <x:c r="G6" s="8"/>
    </x:row>
    <x:row r="7">
      <x:c r="B7" s="8"/>
      <x:c r="C7" s="8"/>
      <x:c r="D7" s="8"/>
      <x:c r="E7" s="8"/>
      <x:c r="F7" s="8"/>
      <x:c r="G7" s="8"/>
    </x:row>
    <x:row r="8">
      <x:c r="B8" s="8"/>
      <x:c r="C8" s="8"/>
      <x:c r="D8" s="8"/>
      <x:c r="E8" s="8"/>
      <x:c r="F8" s="8"/>
      <x:c r="G8" s="8"/>
    </x:row>
    <x:row r="9">
      <x:c r="A9" t="str">
        <x:v>EQUITY KES/share | WACC / g</x:v>
      </x:c>
      <x:c r="B9" s="8" t="n">
        <x:v>0.02</x:v>
      </x:c>
      <x:c r="C9" s="8" t="n">
        <x:v>0.03</x:v>
      </x:c>
      <x:c r="D9" s="8" t="n">
        <x:v>0.04</x:v>
      </x:c>
      <x:c r="E9" s="8" t="n">
        <x:v>0.05</x:v>
      </x:c>
      <x:c r="F9" s="8" t="str"/>
      <x:c r="G9" s="8"/>
    </x:row>
    <x:row r="10">
      <x:c r="A10" t="n">
        <x:v>0.13</x:v>
      </x:c>
      <x:c r="B10" s="8" t="n">
        <x:f>(B2-Assumptions!B8)/Assumptions!B11</x:f>
        <x:v>10.528363309112482</x:v>
      </x:c>
      <x:c r="C10" s="8" t="n">
        <x:f>(C2-Assumptions!B8)/Assumptions!B11</x:f>
        <x:v>11.321026440820251</x:v>
      </x:c>
      <x:c r="D10" s="8" t="n">
        <x:f>(D2-Assumptions!B8)/Assumptions!B11</x:f>
        <x:v>12.289836935129747</x:v>
      </x:c>
      <x:c r="E10" s="8" t="n">
        <x:f>(E2-Assumptions!B8)/Assumptions!B11</x:f>
        <x:v>13.500850053016613</x:v>
      </x:c>
      <x:c r="F10" s="8"/>
      <x:c r="G10" s="8"/>
    </x:row>
    <x:row r="11">
      <x:c r="A11" t="n">
        <x:v>0.15</x:v>
      </x:c>
      <x:c r="B11" s="8" t="n">
        <x:f>(B3-Assumptions!B8)/Assumptions!B11</x:f>
        <x:v>8.525781719885767</x:v>
      </x:c>
      <x:c r="C11" s="8" t="n">
        <x:f>(C3-Assumptions!B8)/Assumptions!B11</x:f>
        <x:v>9.037769695319597</x:v>
      </x:c>
      <x:c r="D11" s="8" t="n">
        <x:f>(D3-Assumptions!B8)/Assumptions!B11</x:f>
        <x:v>9.642846393559577</x:v>
      </x:c>
      <x:c r="E11" s="8" t="n">
        <x:f>(E3-Assumptions!B8)/Assumptions!B11</x:f>
        <x:v>10.36893843144755</x:v>
      </x:c>
      <x:c r="F11" s="8"/>
      <x:c r="G11" s="8"/>
    </x:row>
    <x:row r="12">
      <x:c r="A12" t="n">
        <x:v>0.17</x:v>
      </x:c>
      <x:c r="B12" s="8" t="n">
        <x:f>(B4-Assumptions!B8)/Assumptions!B11</x:f>
        <x:v>7.0638153849742515</x:v>
      </x:c>
      <x:c r="C12" s="8" t="n">
        <x:f>(C4-Assumptions!B8)/Assumptions!B11</x:f>
        <x:v>7.41273465715491</x:v>
      </x:c>
      <x:c r="D12" s="8" t="n">
        <x:f>(D4-Assumptions!B8)/Assumptions!B11</x:f>
        <x:v>7.815333817363362</x:v>
      </x:c>
      <x:c r="E12" s="8" t="n">
        <x:f>(E4-Assumptions!B8)/Assumptions!B11</x:f>
        <x:v>8.285032837606554</x:v>
      </x:c>
      <x:c r="F12" s="8"/>
      <x:c r="G12" s="8"/>
    </x:row>
    <x:row r="13">
      <x:c r="A13" t="n">
        <x:v>0.19</x:v>
      </x:c>
      <x:c r="B13" s="8" t="n">
        <x:f>(B5-Assumptions!B8)/Assumptions!B11</x:f>
        <x:v>5.9511087107241805</x:v>
      </x:c>
      <x:c r="C13" s="8" t="n">
        <x:f>(C5-Assumptions!B8)/Assumptions!B11</x:f>
        <x:v>6.198605660178343</x:v>
      </x:c>
      <x:c r="D13" s="8" t="n">
        <x:f>(D5-Assumptions!B8)/Assumptions!B11</x:f>
        <x:v>6.479102202893062</x:v>
      </x:c>
      <x:c r="E13" s="8" t="n">
        <x:f>(E5-Assumptions!B8)/Assumptions!B11</x:f>
        <x:v>6.799669680281308</x:v>
      </x:c>
      <x:c r="F13" s="8"/>
      <x:c r="G13" s="8"/>
    </x:row>
    <x:row r="14">
      <x:c r="A14" t="n">
        <x:v>0.21</x:v>
      </x:c>
      <x:c r="B14" s="8" t="n">
        <x:f>(B6-Assumptions!B8)/Assumptions!B11</x:f>
        <x:v>5.076932281940748</x:v>
      </x:c>
      <x:c r="C14" s="8" t="n">
        <x:f>(C6-Assumptions!B8)/Assumptions!B11</x:f>
        <x:v>5.258033179911574</x:v>
      </x:c>
      <x:c r="D14" s="8" t="n">
        <x:f>(D6-Assumptions!B8)/Assumptions!B11</x:f>
        <x:v>5.4604400658789665</x:v>
      </x:c>
      <x:c r="E14" s="8" t="n">
        <x:f>(E6-Assumptions!B8)/Assumptions!B11</x:f>
        <x:v>5.688147812592284</x:v>
      </x:c>
      <x:c r="F14" s="8"/>
      <x:c r="G14" s="8"/>
    </x:row>
    <x:row r="15">
      <x:c r="B15" s="8"/>
      <x:c r="C15" s="8"/>
      <x:c r="D15" s="8"/>
      <x:c r="E15" s="8"/>
      <x:c r="F15" s="8"/>
      <x:c r="G15" s="8"/>
    </x:row>
    <x:row r="16">
      <x:c r="B16" s="8"/>
      <x:c r="C16" s="8"/>
      <x:c r="D16" s="8"/>
      <x:c r="E16" s="8"/>
      <x:c r="F16" s="8"/>
      <x:c r="G16" s="8"/>
    </x:row>
    <x:row r="17">
      <x:c r="B17" s="8"/>
      <x:c r="C17" s="8"/>
      <x:c r="D17" s="8"/>
      <x:c r="E17" s="8"/>
      <x:c r="F17" s="8"/>
      <x:c r="G17" s="8"/>
    </x:row>
    <x:row r="18">
      <x:c r="B18" s="8"/>
      <x:c r="C18" s="8"/>
      <x:c r="D18" s="8"/>
      <x:c r="E18" s="8"/>
      <x:c r="F18" s="8"/>
      <x:c r="G18" s="8"/>
    </x:row>
    <x:row r="19">
      <x:c r="B19" s="8"/>
      <x:c r="C19" s="8"/>
      <x:c r="D19" s="8"/>
      <x:c r="E19" s="8"/>
      <x:c r="F19" s="8"/>
      <x:c r="G19" s="8"/>
    </x:row>
    <x:row r="20">
      <x:c r="B20" s="8"/>
      <x:c r="C20" s="8"/>
      <x:c r="D20" s="8"/>
      <x:c r="E20" s="8"/>
      <x:c r="F20" s="8"/>
      <x:c r="G20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6" t="str">
        <x:v>POST IFRS 16 BASE CASE</x:v>
      </x:c>
      <x:c r="B1" s="6" t="str">
        <x:v>KES bn</x:v>
      </x:c>
      <x:c r="C1" s="6"/>
      <x:c r="D1" s="6"/>
      <x:c r="E1" s="6"/>
      <x:c r="F1" s="6"/>
      <x:c r="G1" s="6"/>
    </x:row>
    <x:row r="2">
      <x:c r="A2" t="str">
        <x:v>PV explicit FCFF</x:v>
      </x:c>
      <x:c r="B2" s="8" t="n">
        <x:v>18.493571739077183</x:v>
      </x:c>
      <x:c r="C2" s="8"/>
      <x:c r="D2" s="8"/>
      <x:c r="E2" s="8"/>
      <x:c r="F2" s="8"/>
      <x:c r="G2" s="8"/>
    </x:row>
    <x:row r="3">
      <x:c r="A3" t="str">
        <x:v>PV terminal value</x:v>
      </x:c>
      <x:c r="B3" s="8" t="n">
        <x:v>18.430094889542453</x:v>
      </x:c>
      <x:c r="C3" s="8"/>
      <x:c r="D3" s="8"/>
      <x:c r="E3" s="8"/>
      <x:c r="F3" s="8"/>
      <x:c r="G3" s="8"/>
    </x:row>
    <x:row r="4">
      <x:c r="A4" t="str">
        <x:v>Enterprise value</x:v>
      </x:c>
      <x:c r="B4" s="8" t="n">
        <x:v>36.923666628619635</x:v>
      </x:c>
      <x:c r="C4" s="8"/>
      <x:c r="D4" s="8"/>
      <x:c r="E4" s="8"/>
      <x:c r="F4" s="8"/>
      <x:c r="G4" s="8"/>
    </x:row>
    <x:row r="5">
      <x:c r="A5" t="str">
        <x:v>Less: net debt incl lease</x:v>
      </x:c>
      <x:c r="B5" s="8" t="n">
        <x:v>-7.272728</x:v>
      </x:c>
      <x:c r="C5" s="8"/>
      <x:c r="D5" s="8"/>
      <x:c r="E5" s="8"/>
      <x:c r="F5" s="8"/>
      <x:c r="G5" s="8"/>
    </x:row>
    <x:row r="6">
      <x:c r="A6" t="str">
        <x:v>Equity value</x:v>
      </x:c>
      <x:c r="B6" s="8" t="n">
        <x:v>29.650938628619635</x:v>
      </x:c>
      <x:c r="C6" s="8"/>
      <x:c r="D6" s="8"/>
      <x:c r="E6" s="8"/>
      <x:c r="F6" s="8"/>
      <x:c r="G6" s="8"/>
    </x:row>
    <x:row r="7">
      <x:c r="A7" t="str">
        <x:v>Equity value/share (KES)</x:v>
      </x:c>
      <x:c r="B7" s="8" t="n">
        <x:v>7.412734657154909</x:v>
      </x:c>
      <x:c r="C7" s="8"/>
      <x:c r="D7" s="8"/>
      <x:c r="E7" s="8"/>
      <x:c r="F7" s="8"/>
      <x:c r="G7" s="8"/>
    </x:row>
    <x:row r="8">
      <x:c r="A8" t="str">
        <x:v>IPO price (KES)</x:v>
      </x:c>
      <x:c r="B8" s="8" t="n">
        <x:v>7.5</x:v>
      </x:c>
      <x:c r="C8" s="8"/>
      <x:c r="D8" s="8"/>
      <x:c r="E8" s="8"/>
      <x:c r="F8" s="8"/>
      <x:c r="G8" s="8"/>
    </x:row>
    <x:row r="9">
      <x:c r="A9" t="str">
        <x:v>Upside/downside</x:v>
      </x:c>
      <x:c r="B9" s="8" t="n">
        <x:v>-0.011635379046012195</x:v>
      </x:c>
      <x:c r="C9" s="8"/>
      <x:c r="D9" s="8"/>
      <x:c r="E9" s="8"/>
      <x:c r="F9" s="8"/>
      <x:c r="G9" s="8"/>
    </x:row>
    <x:row r="10">
      <x:c r="A10" t="str">
        <x:v>PRE-LEASE CROSS-CHECK</x:v>
      </x:c>
      <x:c r="B10" s="8" t="str">
        <x:v>KES bn</x:v>
      </x:c>
      <x:c r="C10" s="8"/>
      <x:c r="D10" s="8"/>
      <x:c r="E10" s="8"/>
      <x:c r="F10" s="8"/>
      <x:c r="G10" s="8"/>
    </x:row>
    <x:row r="11">
      <x:c r="A11" t="str">
        <x:v>PV explicit FCFF</x:v>
      </x:c>
      <x:c r="B11" s="8" t="n">
        <x:v>11.342863316620958</x:v>
      </x:c>
      <x:c r="C11" s="8"/>
      <x:c r="D11" s="8"/>
      <x:c r="E11" s="8"/>
      <x:c r="F11" s="8"/>
      <x:c r="G11" s="8"/>
    </x:row>
    <x:row r="12">
      <x:c r="A12" t="str">
        <x:v>PV terminal value</x:v>
      </x:c>
      <x:c r="B12" s="8" t="n">
        <x:v>11.853128760396798</x:v>
      </x:c>
      <x:c r="C12" s="8"/>
      <x:c r="D12" s="8"/>
      <x:c r="E12" s="8"/>
      <x:c r="F12" s="8"/>
      <x:c r="G12" s="8"/>
    </x:row>
    <x:row r="13">
      <x:c r="A13" t="str">
        <x:v>Enterprise value excl capitalised leases</x:v>
      </x:c>
      <x:c r="B13" s="8" t="n">
        <x:v>23.195992077017756</x:v>
      </x:c>
      <x:c r="C13" s="8"/>
      <x:c r="D13" s="8"/>
      <x:c r="E13" s="8"/>
      <x:c r="F13" s="8"/>
      <x:c r="G13" s="8"/>
    </x:row>
    <x:row r="14">
      <x:c r="A14" t="str">
        <x:v>Less: net debt excl lease</x:v>
      </x:c>
      <x:c r="B14" s="8" t="n">
        <x:v>0.027271999999999963</x:v>
      </x:c>
      <x:c r="C14" s="8"/>
      <x:c r="D14" s="8"/>
      <x:c r="E14" s="8"/>
      <x:c r="F14" s="8"/>
      <x:c r="G14" s="8"/>
    </x:row>
    <x:row r="15">
      <x:c r="A15" t="str">
        <x:v>Equity value</x:v>
      </x:c>
      <x:c r="B15" s="8" t="n">
        <x:v>23.223264077017756</x:v>
      </x:c>
      <x:c r="C15" s="8"/>
      <x:c r="D15" s="8"/>
      <x:c r="E15" s="8"/>
      <x:c r="F15" s="8"/>
      <x:c r="G15" s="8"/>
    </x:row>
    <x:row r="16">
      <x:c r="A16" t="str">
        <x:v>Equity value/share (KES)</x:v>
      </x:c>
      <x:c r="B16" s="8" t="n">
        <x:v>5.805816019254439</x:v>
      </x:c>
      <x:c r="C16" s="8"/>
      <x:c r="D16" s="8"/>
      <x:c r="E16" s="8"/>
      <x:c r="F16" s="8"/>
      <x:c r="G16" s="8"/>
    </x:row>
    <x:row r="17">
      <x:c r="A17" t="str">
        <x:v>Difference to post IFRS/share</x:v>
      </x:c>
      <x:c r="B17" s="8" t="n">
        <x:v>-1.6069186379004696</x:v>
      </x:c>
      <x:c r="C17" s="8"/>
      <x:c r="D17" s="8"/>
      <x:c r="E17" s="8"/>
      <x:c r="F17" s="8"/>
      <x:c r="G17" s="8"/>
    </x:row>
    <x:row r="18">
      <x:c r="A18" t="str">
        <x:v>NOTE</x:v>
      </x:c>
      <x:c r="B18" s="8" t="str">
        <x:v>Cross-check is not expected to tie absent fully modelled lease schedules</x:v>
      </x:c>
      <x:c r="C18" s="8"/>
      <x:c r="D18" s="8"/>
      <x:c r="E18" s="8"/>
      <x:c r="F18" s="8"/>
      <x:c r="G18" s="8"/>
    </x:row>
    <x:row r="19">
      <x:c r="B19" s="8"/>
      <x:c r="C19" s="8"/>
      <x:c r="D19" s="8"/>
      <x:c r="E19" s="8"/>
      <x:c r="F19" s="8"/>
      <x:c r="G19" s="8"/>
    </x:row>
    <x:row r="20">
      <x:c r="B20" s="8"/>
      <x:c r="C20" s="8"/>
      <x:c r="D20" s="8"/>
      <x:c r="E20" s="8"/>
      <x:c r="F20" s="8"/>
      <x:c r="G20" s="8"/>
    </x:row>
  </x:sheetData>
  <x:pageMargins left="0.7" right="0.7" top="0.75" bottom="0.75" header="0.3" footer="0.3"/>
</x:worksheet>
</file>