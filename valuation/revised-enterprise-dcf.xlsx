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b74b442eee44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 and provenance" sheetId="1" r:id="Ra93cb5c4bde443ea"/>
    <x:sheet xmlns:r="http://schemas.openxmlformats.org/officeDocument/2006/relationships" name="Operating forecast" sheetId="2" r:id="Rfdd5bbbd42ad4bb1"/>
    <x:sheet xmlns:r="http://schemas.openxmlformats.org/officeDocument/2006/relationships" name="DCF sensitivity" sheetId="3" r:id="Ra3541e26a2ca4a51"/>
    <x:sheet xmlns:r="http://schemas.openxmlformats.org/officeDocument/2006/relationships" name="Bridge and checks" sheetId="4" r:id="Ra090453387694353"/>
    <x:sheet xmlns:r="http://schemas.openxmlformats.org/officeDocument/2006/relationships" name="Validation gaps" sheetId="5" r:id="R9dd284fb86f747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C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2" fillId="2" borderId="0" xfId="0" applyNumberFormat="1" applyFont="1" applyFill="1" applyBorder="1"/>
    <x:xf numFmtId="200" fontId="2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21998d95ce4219" /><Relationship Type="http://schemas.openxmlformats.org/officeDocument/2006/relationships/theme" Target="/xl/theme/theme1.xml" Id="R3da6be04f423482e" /><Relationship Type="http://schemas.openxmlformats.org/officeDocument/2006/relationships/sharedStrings" Target="/xl/sharedStrings.xml" Id="R581e79786eb44c6e" /><Relationship Type="http://schemas.openxmlformats.org/officeDocument/2006/relationships/worksheet" Target="/xl/worksheets/sheet1.xml" Id="Ra93cb5c4bde443ea" /><Relationship Type="http://schemas.openxmlformats.org/officeDocument/2006/relationships/worksheet" Target="/xl/worksheets/sheet2.xml" Id="Rfdd5bbbd42ad4bb1" /><Relationship Type="http://schemas.openxmlformats.org/officeDocument/2006/relationships/worksheet" Target="/xl/worksheets/sheet3.xml" Id="Ra3541e26a2ca4a51" /><Relationship Type="http://schemas.openxmlformats.org/officeDocument/2006/relationships/worksheet" Target="/xl/worksheets/sheet4.xml" Id="Ra090453387694353" /><Relationship Type="http://schemas.openxmlformats.org/officeDocument/2006/relationships/worksheet" Target="/xl/worksheets/sheet5.xml" Id="R9dd284fb86f747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20" hidden="0" customWidth="1"/>
    <x:col min="3" max="3" width="64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6" t="str">
        <x:v>QUICKMART | REVISED VALUATION | 12 OCT 2026</x:v>
      </x:c>
      <x:c r="B1" s="6" t="str">
        <x:v>Value</x:v>
      </x:c>
      <x:c r="C1" s="6" t="str">
        <x:v>Evidence / caveat</x:v>
      </x:c>
      <x:c r="D1" s="6"/>
      <x:c r="E1" s="6"/>
      <x:c r="F1" s="6"/>
      <x:c r="G1" s="6"/>
    </x:row>
    <x:row r="3">
      <x:c r="A3" t="str">
        <x:v>WACC (nominal KES)</x:v>
      </x:c>
      <x:c r="B3" t="n">
        <x:v>0.16</x:v>
      </x:c>
      <x:c r="C3" t="str">
        <x:v>Provisional; not independently validated</x:v>
      </x:c>
    </x:row>
    <x:row r="4">
      <x:c r="A4" t="str">
        <x:v>Terminal growth</x:v>
      </x:c>
      <x:c r="B4" t="n">
        <x:v>0.04</x:v>
      </x:c>
      <x:c r="C4" t="str">
        <x:v>Nominal KES; 2.5-5.5% test</x:v>
      </x:c>
    </x:row>
    <x:row r="5">
      <x:c r="A5" t="str">
        <x:v>Tax rate</x:v>
      </x:c>
      <x:c r="B5" t="n">
        <x:v>0.3</x:v>
      </x:c>
      <x:c r="C5" t="str">
        <x:v>Modelling assumption; tax shield simplified</x:v>
      </x:c>
    </x:row>
    <x:row r="6">
      <x:c r="A6" t="str">
        <x:v>Shares outstanding (bn)</x:v>
      </x:c>
      <x:c r="B6" t="n">
        <x:v>4</x:v>
      </x:c>
      <x:c r="C6" t="str">
        <x:v>IM IPO terms</x:v>
      </x:c>
    </x:row>
    <x:row r="7">
      <x:c r="A7" t="str">
        <x:v>IPO price (KES)</x:v>
      </x:c>
      <x:c r="B7" t="n">
        <x:v>7.5</x:v>
      </x:c>
      <x:c r="C7" t="str">
        <x:v>IM IPO terms</x:v>
      </x:c>
    </x:row>
    <x:row r="8">
      <x:c r="A8" t="str">
        <x:v>Net debt incl leases (KES bn)</x:v>
      </x:c>
      <x:c r="B8" t="n">
        <x:v>7.272728</x:v>
      </x:c>
      <x:c r="C8" t="str">
        <x:v>IM p.29/30; 30 June 2026</x:v>
      </x:c>
    </x:row>
    <x:row r="9">
      <x:c r="A9" t="str">
        <x:v>Lease liability (KES bn)</x:v>
      </x:c>
      <x:c r="B9" t="n">
        <x:v>7.9</x:v>
      </x:c>
      <x:c r="C9" t="str">
        <x:v>IM p.150 says ~7.9bn; rounded</x:v>
      </x:c>
    </x:row>
    <x:row r="10">
      <x:c r="A10" t="str">
        <x:v>Net debt excl leases (KES bn)</x:v>
      </x:c>
      <x:c r="B10" t="n">
        <x:v>-0.6272720000000005</x:v>
      </x:c>
      <x:c r="C10" t="str">
        <x:v>Derived; includes cash net of other debt</x:v>
      </x:c>
    </x:row>
    <x:row r="11">
      <x:c r="A11" t="str">
        <x:v>FY2027 rent proxy (KES bn)</x:v>
      </x:c>
      <x:c r="B11" t="n">
        <x:v>2.05</x:v>
      </x:c>
      <x:c r="C11" t="str">
        <x:v>UNVERIFIED placeholder; no full lease cash schedule</x:v>
      </x:c>
    </x:row>
    <x:row r="12">
      <x:c r="A12" t="str">
        <x:v>FY2027 change in NWC</x:v>
      </x:c>
      <x:c r="B12" t="n">
        <x:v>0</x:v>
      </x:c>
      <x:c r="C12" t="str">
        <x:v>UNVERIFIED placeholder</x:v>
      </x:c>
    </x:row>
    <x:row r="13">
      <x:c r="A13" t="str">
        <x:v>Model anchor</x:v>
      </x:c>
      <x:c r="B13" t="str">
        <x:v>End-2026</x:v>
      </x:c>
      <x:c r="C13" t="str">
        <x:v>No Oct 2026 stub; timing mismatch</x:v>
      </x:c>
    </x:row>
    <x:row r="14">
      <x:c r="A14" t="str">
        <x:v>Risk-free 10-15Y KES yield</x:v>
      </x:c>
      <x:c r="B14" t="str">
        <x:v>UNVERIFIED</x:v>
      </x:c>
      <x:c r="C14" t="str">
        <x:v>No dated tradable curve verified</x:v>
      </x:c>
    </x:row>
    <x:row r="15">
      <x:c r="A15" t="str">
        <x:v>Equity beta</x:v>
      </x:c>
      <x:c r="B15" t="str">
        <x:v>UNVERIFIED</x:v>
      </x:c>
      <x:c r="C15" t="str">
        <x:v>Peer unlever/relever outstanding</x:v>
      </x:c>
    </x:row>
    <x:row r="16">
      <x:c r="A16" t="str">
        <x:v>Debt/lease cost</x:v>
      </x:c>
      <x:c r="B16" t="str">
        <x:v>UNVERIFIED</x:v>
      </x:c>
      <x:c r="C16" t="str">
        <x:v>Lease-specific debt weights outstanding</x:v>
      </x:c>
    </x:row>
    <x:row r="17">
      <x:c r="A17" t="str">
        <x:v>Kenya country ERP</x:v>
      </x:c>
      <x:c r="B17" t="n">
        <x:v>0.1224</x:v>
      </x:c>
      <x:c r="C17" t="str">
        <x:v>Damodaran July 2026; do not add to KES sovereign rate unadjusted</x:v>
      </x:c>
    </x:row>
    <x:row r="18">
      <x:c r="A18" t="str">
        <x:v>Mature market ERP</x:v>
      </x:c>
      <x:c r="B18" t="n">
        <x:v>0.042</x:v>
      </x:c>
      <x:c r="C18" t="str">
        <x:v>Damodaran July 2026</x:v>
      </x:c>
    </x:row>
    <x:row r="19">
      <x:c r="A19" t="str">
        <x:v>Conclusion</x:v>
      </x:c>
      <x:c r="B19" t="str">
        <x:v>ILLUSTRATIVE</x:v>
      </x:c>
      <x:c r="C19" t="str">
        <x:v>No validated market calibrated WACC or lease reconciliation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6" t="str">
        <x:v>KES bn / FY</x:v>
      </x:c>
      <x:c r="B1" s="6" t="n">
        <x:v>2027</x:v>
      </x:c>
      <x:c r="C1" s="6" t="n">
        <x:v>2028</x:v>
      </x:c>
      <x:c r="D1" s="6" t="n">
        <x:v>2029</x:v>
      </x:c>
      <x:c r="E1" s="6" t="n">
        <x:v>2030</x:v>
      </x:c>
      <x:c r="F1" s="6" t="n">
        <x:v>2031</x:v>
      </x:c>
      <x:c r="G1" s="6" t="n">
        <x:v>2032</x:v>
      </x:c>
    </x:row>
    <x:row r="3">
      <x:c r="A3" t="str">
        <x:v>Revenue</x:v>
      </x:c>
      <x:c r="B3" t="n">
        <x:v>67.435723</x:v>
      </x:c>
      <x:c r="C3" t="n">
        <x:v>75.52800976</x:v>
      </x:c>
      <x:c r="D3" t="n">
        <x:v>83.080810736</x:v>
      </x:c>
      <x:c r="E3" t="n">
        <x:v>90.14267964856</x:v>
      </x:c>
      <x:c r="F3" t="n">
        <x:v>96.45266722395921</x:v>
      </x:c>
      <x:c r="G3" t="n">
        <x:v>102.23982725739677</x:v>
      </x:c>
    </x:row>
    <x:row r="4">
      <x:c r="A4" t="str">
        <x:v>EBIT</x:v>
      </x:c>
      <x:c r="B4" t="n">
        <x:v>5.571191</x:v>
      </x:c>
      <x:c r="C4" t="n">
        <x:v>6.193296800320001</x:v>
      </x:c>
      <x:c r="D4" t="n">
        <x:v>6.729545669616001</x:v>
      </x:c>
      <x:c r="E4" t="n">
        <x:v>7.211414371884801</x:v>
      </x:c>
      <x:c r="F4" t="n">
        <x:v>7.619760710692778</x:v>
      </x:c>
      <x:c r="G4" t="n">
        <x:v>7.974706526076948</x:v>
      </x:c>
    </x:row>
    <x:row r="5">
      <x:c r="A5" t="str">
        <x:v>PPE+intangible D&amp;A</x:v>
      </x:c>
      <x:c r="B5" t="n">
        <x:v>0.982858</x:v>
      </x:c>
      <x:c r="C5" t="n">
        <x:v>1.1329201464</x:v>
      </x:c>
      <x:c r="D5" t="n">
        <x:v>1.24621216104</x:v>
      </x:c>
      <x:c r="E5" t="n">
        <x:v>1.3521401947284</x:v>
      </x:c>
      <x:c r="F5" t="n">
        <x:v>1.446790008359388</x:v>
      </x:c>
      <x:c r="G5" t="n">
        <x:v>1.5335974088609514</x:v>
      </x:c>
    </x:row>
    <x:row r="6">
      <x:c r="A6" t="str">
        <x:v>ROU depreciation</x:v>
      </x:c>
      <x:c r="B6" t="n">
        <x:v>1.205798</x:v>
      </x:c>
      <x:c r="C6" t="n">
        <x:v>1.2660879</x:v>
      </x:c>
      <x:c r="D6" t="n">
        <x:v>1.3293922950000001</x:v>
      </x:c>
      <x:c r="E6" t="n">
        <x:v>1.3958619097500002</x:v>
      </x:c>
      <x:c r="F6" t="n">
        <x:v>1.4656550052375004</x:v>
      </x:c>
      <x:c r="G6" t="n">
        <x:v>1.5389377554993755</x:v>
      </x:c>
    </x:row>
    <x:row r="7">
      <x:c r="A7" t="str">
        <x:v>Capex</x:v>
      </x:c>
      <x:c r="B7" t="n">
        <x:v>1.8</x:v>
      </x:c>
      <x:c r="C7" t="n">
        <x:v>2</x:v>
      </x:c>
      <x:c r="D7" t="n">
        <x:v>2.15</x:v>
      </x:c>
      <x:c r="E7" t="n">
        <x:v>2.2</x:v>
      </x:c>
      <x:c r="F7" t="n">
        <x:v>2.2</x:v>
      </x:c>
      <x:c r="G7" t="n">
        <x:v>2.2</x:v>
      </x:c>
    </x:row>
    <x:row r="8">
      <x:c r="A8" t="str">
        <x:v>NWC cash outflow</x:v>
      </x:c>
      <x:c r="B8" t="n">
        <x:v>0</x:v>
      </x:c>
      <x:c r="C8" t="n">
        <x:v>0.040461433800000036</x:v>
      </x:c>
      <x:c r="D8" t="n">
        <x:v>0.03776400488</x:v>
      </x:c>
      <x:c r="E8" t="n">
        <x:v>0.03530934456280001</x:v>
      </x:c>
      <x:c r="F8" t="n">
        <x:v>0.031549937876996025</x:v>
      </x:c>
      <x:c r="G8" t="n">
        <x:v>0.028935800167187792</x:v>
      </x:c>
    </x:row>
    <x:row r="9">
      <x:c r="A9" t="str">
        <x:v>Cash rental proxy</x:v>
      </x:c>
      <x:c r="B9" t="n">
        <x:v>2.05</x:v>
      </x:c>
      <x:c r="C9" t="n">
        <x:v>2.1525</x:v>
      </x:c>
      <x:c r="D9" t="n">
        <x:v>2.260125</x:v>
      </x:c>
      <x:c r="E9" t="n">
        <x:v>2.37313125</x:v>
      </x:c>
      <x:c r="F9" t="n">
        <x:v>2.4917878125</x:v>
      </x:c>
      <x:c r="G9" t="n">
        <x:v>2.6163772031250003</x:v>
      </x:c>
    </x:row>
    <x:row r="11">
      <x:c r="A11" t="str">
        <x:v>Post IFRS16 FCFF</x:v>
      </x:c>
      <x:c r="B11" t="n">
        <x:f>B4*(1-'Inputs and provenance'!$B$5)+B5+B6-B7-B8</x:f>
        <x:v>4.2884896999999995</x:v>
      </x:c>
      <x:c r="C11" t="n">
        <x:f>C4*(1-'Inputs and provenance'!$B$5)+C5+C6-C7-C8</x:f>
        <x:v>4.693854372824</x:v>
      </x:c>
      <x:c r="D11" t="n">
        <x:f>D4*(1-'Inputs and provenance'!$B$5)+D5+D6-D7-D8</x:f>
        <x:v>5.0985224198912</x:v>
      </x:c>
      <x:c r="E11" t="n">
        <x:f>E4*(1-'Inputs and provenance'!$B$5)+E5+E6-E7-E8</x:f>
        <x:v>5.560682820234961</x:v>
      </x:c>
      <x:c r="F11" t="n">
        <x:f>F4*(1-'Inputs and provenance'!$B$5)+F5+F6-F7-F8</x:f>
        <x:v>6.014727573204836</x:v>
      </x:c>
      <x:c r="G11" t="n">
        <x:f>G4*(1-'Inputs and provenance'!$B$5)+G5+G6-G7-G8</x:f>
        <x:v>6.425893932447001</x:v>
      </x:c>
    </x:row>
    <x:row r="12">
      <x:c r="A12" t="str">
        <x:v>Pre-lease FCFF</x:v>
      </x:c>
      <x:c r="B12" t="n">
        <x:f>B11-'Inputs and provenance'!$B$5*B6-(1-'Inputs and provenance'!$B$5)*B9</x:f>
        <x:v>2.4917502999999996</x:v>
      </x:c>
      <x:c r="C12" t="n">
        <x:f>C11-'Inputs and provenance'!$B$5*C6-(1-'Inputs and provenance'!$B$5)*C9</x:f>
        <x:v>2.8072780028240003</x:v>
      </x:c>
      <x:c r="D12" t="n">
        <x:f>D11-'Inputs and provenance'!$B$5*D6-(1-'Inputs and provenance'!$B$5)*D9</x:f>
        <x:v>3.1176172313911996</x:v>
      </x:c>
      <x:c r="E12" t="n">
        <x:f>E11-'Inputs and provenance'!$B$5*E6-(1-'Inputs and provenance'!$B$5)*E9</x:f>
        <x:v>3.4807323723099604</x:v>
      </x:c>
      <x:c r="F12" t="n">
        <x:f>F11-'Inputs and provenance'!$B$5*F6-(1-'Inputs and provenance'!$B$5)*F9</x:f>
        <x:v>3.8307796028835863</x:v>
      </x:c>
      <x:c r="G12" t="n">
        <x:f>G11-'Inputs and provenance'!$B$5*G6-(1-'Inputs and provenance'!$B$5)*G9</x:f>
        <x:v>4.132748563609688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6" t="str">
        <x:v>Enterprise value (KES bn) | WACC / g</x:v>
      </x:c>
      <x:c r="B1" s="8" t="n">
        <x:v>0.025</x:v>
      </x:c>
      <x:c r="C1" s="8" t="n">
        <x:v>0.03</x:v>
      </x:c>
      <x:c r="D1" s="8" t="n">
        <x:v>0.04</x:v>
      </x:c>
      <x:c r="E1" s="8" t="n">
        <x:v>0.05</x:v>
      </x:c>
      <x:c r="F1" s="8" t="n">
        <x:v>0.055</x:v>
      </x:c>
      <x:c r="G1" s="6"/>
    </x:row>
    <x:row r="2">
      <x:c r="A2" s="10" t="n">
        <x:v>0.145</x:v>
      </x:c>
      <x:c r="B2" t="n">
        <x:f>'Operating forecast'!B11/(1+$A2)^1+'Operating forecast'!C11/(1+$A2)^2+'Operating forecast'!D11/(1+$A2)^3+'Operating forecast'!E11/(1+$A2)^4+'Operating forecast'!F11/(1+$A2)^5+'Operating forecast'!G11/(1+$A2)^6+('Operating forecast'!G11*(1+B$1)/($A2-B$1))/(1+$A2)^6</x:f>
        <x:v>44.22342539783815</x:v>
      </x:c>
      <x:c r="C2" t="n">
        <x:f>'Operating forecast'!B11/(1+$A2)^1+'Operating forecast'!C11/(1+$A2)^2+'Operating forecast'!D11/(1+$A2)^3+'Operating forecast'!E11/(1+$A2)^4+'Operating forecast'!F11/(1+$A2)^5+'Operating forecast'!G11/(1+$A2)^6+('Operating forecast'!G11*(1+C$1)/($A2-C$1))/(1+$A2)^6</x:f>
        <x:v>45.40645888289232</x:v>
      </x:c>
      <x:c r="D2" t="n">
        <x:f>'Operating forecast'!B11/(1+$A2)^1+'Operating forecast'!C11/(1+$A2)^2+'Operating forecast'!D11/(1+$A2)^3+'Operating forecast'!E11/(1+$A2)^4+'Operating forecast'!F11/(1+$A2)^5+'Operating forecast'!G11/(1+$A2)^6+('Operating forecast'!G11*(1+D$1)/($A2-D$1))/(1+$A2)^6</x:f>
        <x:v>48.11053542015899</x:v>
      </x:c>
      <x:c r="E2" t="n">
        <x:f>'Operating forecast'!B11/(1+$A2)^1+'Operating forecast'!C11/(1+$A2)^2+'Operating forecast'!D11/(1+$A2)^3+'Operating forecast'!E11/(1+$A2)^4+'Operating forecast'!F11/(1+$A2)^5+'Operating forecast'!G11/(1+$A2)^6+('Operating forecast'!G11*(1+E$1)/($A2-E$1))/(1+$A2)^6</x:f>
        <x:v>51.383891228429164</x:v>
      </x:c>
      <x:c r="F2" t="n">
        <x:f>'Operating forecast'!B11/(1+$A2)^1+'Operating forecast'!C11/(1+$A2)^2+'Operating forecast'!D11/(1+$A2)^3+'Operating forecast'!E11/(1+$A2)^4+'Operating forecast'!F11/(1+$A2)^5+'Operating forecast'!G11/(1+$A2)^6+('Operating forecast'!G11*(1+F$1)/($A2-F$1))/(1+$A2)^6</x:f>
        <x:v>53.29334878325342</x:v>
      </x:c>
    </x:row>
    <x:row r="3">
      <x:c r="A3" s="10" t="n">
        <x:v>0.15</x:v>
      </x:c>
      <x:c r="B3" t="n">
        <x:f>'Operating forecast'!B11/(1+$A3)^1+'Operating forecast'!C11/(1+$A3)^2+'Operating forecast'!D11/(1+$A3)^3+'Operating forecast'!E11/(1+$A3)^4+'Operating forecast'!F11/(1+$A3)^5+'Operating forecast'!G11/(1+$A3)^6+('Operating forecast'!G11*(1+B$1)/($A3-B$1))/(1+$A3)^6</x:f>
        <x:v>42.35887179237602</x:v>
      </x:c>
      <x:c r="C3" t="n">
        <x:f>'Operating forecast'!B11/(1+$A3)^1+'Operating forecast'!C11/(1+$A3)^2+'Operating forecast'!D11/(1+$A3)^3+'Operating forecast'!E11/(1+$A3)^4+'Operating forecast'!F11/(1+$A3)^5+'Operating forecast'!G11/(1+$A3)^6+('Operating forecast'!G11*(1+C$1)/($A3-C$1))/(1+$A3)^6</x:f>
        <x:v>43.42380678127839</x:v>
      </x:c>
      <x:c r="D3" t="n">
        <x:f>'Operating forecast'!B11/(1+$A3)^1+'Operating forecast'!C11/(1+$A3)^2+'Operating forecast'!D11/(1+$A3)^3+'Operating forecast'!E11/(1+$A3)^4+'Operating forecast'!F11/(1+$A3)^5+'Operating forecast'!G11/(1+$A3)^6+('Operating forecast'!G11*(1+D$1)/($A3-D$1))/(1+$A3)^6</x:f>
        <x:v>45.84411357423831</x:v>
      </x:c>
      <x:c r="E3" t="n">
        <x:f>'Operating forecast'!B11/(1+$A3)^1+'Operating forecast'!C11/(1+$A3)^2+'Operating forecast'!D11/(1+$A3)^3+'Operating forecast'!E11/(1+$A3)^4+'Operating forecast'!F11/(1+$A3)^5+'Operating forecast'!G11/(1+$A3)^6+('Operating forecast'!G11*(1+E$1)/($A3-E$1))/(1+$A3)^6</x:f>
        <x:v>48.7484817257902</x:v>
      </x:c>
      <x:c r="F3" t="n">
        <x:f>'Operating forecast'!B11/(1+$A3)^1+'Operating forecast'!C11/(1+$A3)^2+'Operating forecast'!D11/(1+$A3)^3+'Operating forecast'!E11/(1+$A3)^4+'Operating forecast'!F11/(1+$A3)^5+'Operating forecast'!G11/(1+$A3)^6+('Operating forecast'!G11*(1+F$1)/($A3-F$1))/(1+$A3)^6</x:f>
        <x:v>50.429958024057086</x:v>
      </x:c>
    </x:row>
    <x:row r="4">
      <x:c r="A4" s="10" t="n">
        <x:v>0.16</x:v>
      </x:c>
      <x:c r="B4" t="n">
        <x:f>'Operating forecast'!B11/(1+$A4)^1+'Operating forecast'!C11/(1+$A4)^2+'Operating forecast'!D11/(1+$A4)^3+'Operating forecast'!E11/(1+$A4)^4+'Operating forecast'!F11/(1+$A4)^5+'Operating forecast'!G11/(1+$A4)^6+('Operating forecast'!G11*(1+B$1)/($A4-B$1))/(1+$A4)^6</x:f>
        <x:v>39.049090985473825</x:v>
      </x:c>
      <x:c r="C4" t="n">
        <x:f>'Operating forecast'!B11/(1+$A4)^1+'Operating forecast'!C11/(1+$A4)^2+'Operating forecast'!D11/(1+$A4)^3+'Operating forecast'!E11/(1+$A4)^4+'Operating forecast'!F11/(1+$A4)^5+'Operating forecast'!G11/(1+$A4)^6+('Operating forecast'!G11*(1+C$1)/($A4-C$1))/(1+$A4)^6</x:f>
        <x:v>39.92072965695792</x:v>
      </x:c>
      <x:c r="D4" t="n">
        <x:f>'Operating forecast'!B11/(1+$A4)^1+'Operating forecast'!C11/(1+$A4)^2+'Operating forecast'!D11/(1+$A4)^3+'Operating forecast'!E11/(1+$A4)^4+'Operating forecast'!F11/(1+$A4)^5+'Operating forecast'!G11/(1+$A4)^6+('Operating forecast'!G11*(1+D$1)/($A4-D$1))/(1+$A4)^6</x:f>
        <x:v>41.88191666779713</x:v>
      </x:c>
      <x:c r="E4" t="n">
        <x:f>'Operating forecast'!B11/(1+$A4)^1+'Operating forecast'!C11/(1+$A4)^2+'Operating forecast'!D11/(1+$A4)^3+'Operating forecast'!E11/(1+$A4)^4+'Operating forecast'!F11/(1+$A4)^5+'Operating forecast'!G11/(1+$A4)^6+('Operating forecast'!G11*(1+E$1)/($A4-E$1))/(1+$A4)^6</x:f>
        <x:v>44.19968313515256</x:v>
      </x:c>
      <x:c r="F4" t="n">
        <x:f>'Operating forecast'!B11/(1+$A4)^1+'Operating forecast'!C11/(1+$A4)^2+'Operating forecast'!D11/(1+$A4)^3+'Operating forecast'!E11/(1+$A4)^4+'Operating forecast'!F11/(1+$A4)^5+'Operating forecast'!G11/(1+$A4)^6+('Operating forecast'!G11*(1+F$1)/($A4-F$1))/(1+$A4)^6</x:f>
        <x:v>45.52412111649851</x:v>
      </x:c>
    </x:row>
    <x:row r="5">
      <x:c r="A5" s="10" t="n">
        <x:v>0.17</x:v>
      </x:c>
      <x:c r="B5" t="n">
        <x:f>'Operating forecast'!B11/(1+$A5)^1+'Operating forecast'!C11/(1+$A5)^2+'Operating forecast'!D11/(1+$A5)^3+'Operating forecast'!E11/(1+$A5)^4+'Operating forecast'!F11/(1+$A5)^5+'Operating forecast'!G11/(1+$A5)^6+('Operating forecast'!G11*(1+B$1)/($A5-B$1))/(1+$A5)^6</x:f>
        <x:v>36.2017646861769</x:v>
      </x:c>
      <x:c r="C5" t="n">
        <x:f>'Operating forecast'!B11/(1+$A5)^1+'Operating forecast'!C11/(1+$A5)^2+'Operating forecast'!D11/(1+$A5)^3+'Operating forecast'!E11/(1+$A5)^4+'Operating forecast'!F11/(1+$A5)^5+'Operating forecast'!G11/(1+$A5)^6+('Operating forecast'!G11*(1+C$1)/($A5-C$1))/(1+$A5)^6</x:f>
        <x:v>36.92366662861964</x:v>
      </x:c>
      <x:c r="D5" t="n">
        <x:f>'Operating forecast'!B11/(1+$A5)^1+'Operating forecast'!C11/(1+$A5)^2+'Operating forecast'!D11/(1+$A5)^3+'Operating forecast'!E11/(1+$A5)^4+'Operating forecast'!F11/(1+$A5)^5+'Operating forecast'!G11/(1+$A5)^6+('Operating forecast'!G11*(1+D$1)/($A5-D$1))/(1+$A5)^6</x:f>
        <x:v>38.53406326945345</x:v>
      </x:c>
      <x:c r="E5" t="n">
        <x:f>'Operating forecast'!B11/(1+$A5)^1+'Operating forecast'!C11/(1+$A5)^2+'Operating forecast'!D11/(1+$A5)^3+'Operating forecast'!E11/(1+$A5)^4+'Operating forecast'!F11/(1+$A5)^5+'Operating forecast'!G11/(1+$A5)^6+('Operating forecast'!G11*(1+E$1)/($A5-E$1))/(1+$A5)^6</x:f>
        <x:v>40.41285935042622</x:v>
      </x:c>
      <x:c r="F5" t="n">
        <x:f>'Operating forecast'!B11/(1+$A5)^1+'Operating forecast'!C11/(1+$A5)^2+'Operating forecast'!D11/(1+$A5)^3+'Operating forecast'!E11/(1+$A5)^4+'Operating forecast'!F11/(1+$A5)^5+'Operating forecast'!G11/(1+$A5)^6+('Operating forecast'!G11*(1+F$1)/($A5-F$1))/(1+$A5)^6</x:f>
        <x:v>41.474787570106486</x:v>
      </x:c>
    </x:row>
    <x:row r="6">
      <x:c r="A6" s="10" t="n">
        <x:v>0.18</x:v>
      </x:c>
      <x:c r="B6" t="n">
        <x:f>'Operating forecast'!B11/(1+$A6)^1+'Operating forecast'!C11/(1+$A6)^2+'Operating forecast'!D11/(1+$A6)^3+'Operating forecast'!E11/(1+$A6)^4+'Operating forecast'!F11/(1+$A6)^5+'Operating forecast'!G11/(1+$A6)^6+('Operating forecast'!G11*(1+B$1)/($A6-B$1))/(1+$A6)^6</x:f>
        <x:v>33.72711874356825</x:v>
      </x:c>
      <x:c r="C6" t="n">
        <x:f>'Operating forecast'!B11/(1+$A6)^1+'Operating forecast'!C11/(1+$A6)^2+'Operating forecast'!D11/(1+$A6)^3+'Operating forecast'!E11/(1+$A6)^4+'Operating forecast'!F11/(1+$A6)^5+'Operating forecast'!G11/(1+$A6)^6+('Operating forecast'!G11*(1+C$1)/($A6-C$1))/(1+$A6)^6</x:f>
        <x:v>34.331165509243945</x:v>
      </x:c>
      <x:c r="D6" t="n">
        <x:f>'Operating forecast'!B11/(1+$A6)^1+'Operating forecast'!C11/(1+$A6)^2+'Operating forecast'!D11/(1+$A6)^3+'Operating forecast'!E11/(1+$A6)^4+'Operating forecast'!F11/(1+$A6)^5+'Operating forecast'!G11/(1+$A6)^6+('Operating forecast'!G11*(1+D$1)/($A6-D$1))/(1+$A6)^6</x:f>
        <x:v>35.66869763324012</x:v>
      </x:c>
      <x:c r="E6" t="n">
        <x:f>'Operating forecast'!B11/(1+$A6)^1+'Operating forecast'!C11/(1+$A6)^2+'Operating forecast'!D11/(1+$A6)^3+'Operating forecast'!E11/(1+$A6)^4+'Operating forecast'!F11/(1+$A6)^5+'Operating forecast'!G11/(1+$A6)^6+('Operating forecast'!G11*(1+E$1)/($A6-E$1))/(1+$A6)^6</x:f>
        <x:v>37.21200393015878</x:v>
      </x:c>
      <x:c r="F6" t="n">
        <x:f>'Operating forecast'!B11/(1+$A6)^1+'Operating forecast'!C11/(1+$A6)^2+'Operating forecast'!D11/(1+$A6)^3+'Operating forecast'!E11/(1+$A6)^4+'Operating forecast'!F11/(1+$A6)^5+'Operating forecast'!G11/(1+$A6)^6+('Operating forecast'!G11*(1+F$1)/($A6-F$1))/(1+$A6)^6</x:f>
        <x:v>38.07625545643323</x:v>
      </x:c>
    </x:row>
    <x:row r="9">
      <x:c r="A9" t="str">
        <x:v>Equity value (KES/share) | WACC / g</x:v>
      </x:c>
      <x:c r="B9" s="10" t="n">
        <x:v>0.025</x:v>
      </x:c>
      <x:c r="C9" s="10" t="n">
        <x:v>0.03</x:v>
      </x:c>
      <x:c r="D9" s="10" t="n">
        <x:v>0.04</x:v>
      </x:c>
      <x:c r="E9" s="10" t="n">
        <x:v>0.05</x:v>
      </x:c>
      <x:c r="F9" s="10" t="n">
        <x:v>0.055</x:v>
      </x:c>
    </x:row>
    <x:row r="10">
      <x:c r="A10" s="10" t="n">
        <x:v>0.145</x:v>
      </x:c>
      <x:c r="B10" t="n">
        <x:f>(B2-'Inputs and provenance'!$B$8)/'Inputs and provenance'!$B$6</x:f>
        <x:v>9.237674349459537</x:v>
      </x:c>
      <x:c r="C10" t="n">
        <x:f>(C2-'Inputs and provenance'!$B$8)/'Inputs and provenance'!$B$6</x:f>
        <x:v>9.53343272072308</x:v>
      </x:c>
      <x:c r="D10" t="n">
        <x:f>(D2-'Inputs and provenance'!$B$8)/'Inputs and provenance'!$B$6</x:f>
        <x:v>10.209451855039747</x:v>
      </x:c>
      <x:c r="E10" t="n">
        <x:f>(E2-'Inputs and provenance'!$B$8)/'Inputs and provenance'!$B$6</x:f>
        <x:v>11.02779080710729</x:v>
      </x:c>
      <x:c r="F10" t="n">
        <x:f>(F2-'Inputs and provenance'!$B$8)/'Inputs and provenance'!$B$6</x:f>
        <x:v>11.505155195813355</x:v>
      </x:c>
    </x:row>
    <x:row r="11">
      <x:c r="A11" s="10" t="n">
        <x:v>0.15</x:v>
      </x:c>
      <x:c r="B11" t="n">
        <x:f>(B3-'Inputs and provenance'!$B$8)/'Inputs and provenance'!$B$6</x:f>
        <x:v>8.771535948094005</x:v>
      </x:c>
      <x:c r="C11" t="n">
        <x:f>(C3-'Inputs and provenance'!$B$8)/'Inputs and provenance'!$B$6</x:f>
        <x:v>9.037769695319597</x:v>
      </x:c>
      <x:c r="D11" t="n">
        <x:f>(D3-'Inputs and provenance'!$B$8)/'Inputs and provenance'!$B$6</x:f>
        <x:v>9.642846393559577</x:v>
      </x:c>
      <x:c r="E11" t="n">
        <x:f>(E3-'Inputs and provenance'!$B$8)/'Inputs and provenance'!$B$6</x:f>
        <x:v>10.36893843144755</x:v>
      </x:c>
      <x:c r="F11" t="n">
        <x:f>(F3-'Inputs and provenance'!$B$8)/'Inputs and provenance'!$B$6</x:f>
        <x:v>10.789307506014271</x:v>
      </x:c>
    </x:row>
    <x:row r="12">
      <x:c r="A12" s="10" t="n">
        <x:v>0.16</x:v>
      </x:c>
      <x:c r="B12" t="n">
        <x:f>(B4-'Inputs and provenance'!$B$8)/'Inputs and provenance'!$B$6</x:f>
        <x:v>7.944090746368456</x:v>
      </x:c>
      <x:c r="C12" t="n">
        <x:f>(C4-'Inputs and provenance'!$B$8)/'Inputs and provenance'!$B$6</x:f>
        <x:v>8.162000414239479</x:v>
      </x:c>
      <x:c r="D12" t="n">
        <x:f>(D4-'Inputs and provenance'!$B$8)/'Inputs and provenance'!$B$6</x:f>
        <x:v>8.652297166949282</x:v>
      </x:c>
      <x:c r="E12" t="n">
        <x:f>(E4-'Inputs and provenance'!$B$8)/'Inputs and provenance'!$B$6</x:f>
        <x:v>9.23173878378814</x:v>
      </x:c>
      <x:c r="F12" t="n">
        <x:f>(F4-'Inputs and provenance'!$B$8)/'Inputs and provenance'!$B$6</x:f>
        <x:v>9.562848279124628</x:v>
      </x:c>
    </x:row>
    <x:row r="13">
      <x:c r="A13" s="10" t="n">
        <x:v>0.17</x:v>
      </x:c>
      <x:c r="B13" t="n">
        <x:f>(B5-'Inputs and provenance'!$B$8)/'Inputs and provenance'!$B$6</x:f>
        <x:v>7.232259171544225</x:v>
      </x:c>
      <x:c r="C13" t="n">
        <x:f>(C5-'Inputs and provenance'!$B$8)/'Inputs and provenance'!$B$6</x:f>
        <x:v>7.41273465715491</x:v>
      </x:c>
      <x:c r="D13" t="n">
        <x:f>(D5-'Inputs and provenance'!$B$8)/'Inputs and provenance'!$B$6</x:f>
        <x:v>7.815333817363362</x:v>
      </x:c>
      <x:c r="E13" t="n">
        <x:f>(E5-'Inputs and provenance'!$B$8)/'Inputs and provenance'!$B$6</x:f>
        <x:v>8.285032837606554</x:v>
      </x:c>
      <x:c r="F13" t="n">
        <x:f>(F5-'Inputs and provenance'!$B$8)/'Inputs and provenance'!$B$6</x:f>
        <x:v>8.550514892526621</x:v>
      </x:c>
    </x:row>
    <x:row r="14">
      <x:c r="A14" s="10" t="n">
        <x:v>0.18</x:v>
      </x:c>
      <x:c r="B14" t="n">
        <x:f>(B6-'Inputs and provenance'!$B$8)/'Inputs and provenance'!$B$6</x:f>
        <x:v>6.613597685892062</x:v>
      </x:c>
      <x:c r="C14" t="n">
        <x:f>(C6-'Inputs and provenance'!$B$8)/'Inputs and provenance'!$B$6</x:f>
        <x:v>6.764609377310986</x:v>
      </x:c>
      <x:c r="D14" t="n">
        <x:f>(D6-'Inputs and provenance'!$B$8)/'Inputs and provenance'!$B$6</x:f>
        <x:v>7.09899240831003</x:v>
      </x:c>
      <x:c r="E14" t="n">
        <x:f>(E6-'Inputs and provenance'!$B$8)/'Inputs and provenance'!$B$6</x:f>
        <x:v>7.484818982539695</x:v>
      </x:c>
      <x:c r="F14" t="n">
        <x:f>(F6-'Inputs and provenance'!$B$8)/'Inputs and provenance'!$B$6</x:f>
        <x:v>7.700881864108307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6" t="str">
        <x:v>BASE CASE | POST IFRS16</x:v>
      </x:c>
      <x:c r="B1" s="6" t="str">
        <x:v>KES bn unless indicated</x:v>
      </x:c>
      <x:c r="C1" s="6"/>
      <x:c r="D1" s="6"/>
      <x:c r="E1" s="6"/>
      <x:c r="F1" s="6"/>
      <x:c r="G1" s="6"/>
    </x:row>
    <x:row r="3">
      <x:c r="A3" t="str">
        <x:v>PV FY2027-2032 FCFF</x:v>
      </x:c>
      <x:c r="B3" t="n">
        <x:f>SUM('Operating forecast'!B11/(1+'Inputs and provenance'!B3)^1,'Operating forecast'!C11/(1+'Inputs and provenance'!B3)^2,'Operating forecast'!D11/(1+'Inputs and provenance'!B3)^3,'Operating forecast'!E11/(1+'Inputs and provenance'!B3)^4,'Operating forecast'!F11/(1+'Inputs and provenance'!B3)^5,'Operating forecast'!G11/(1+'Inputs and provenance'!B3)^6)</x:f>
        <x:v>19.023943920774606</x:v>
      </x:c>
    </x:row>
    <x:row r="4">
      <x:c r="A4" t="str">
        <x:v>PV terminal value</x:v>
      </x:c>
      <x:c r="B4" t="n">
        <x:f>('Operating forecast'!G11*(1+'Inputs and provenance'!B4)/('Inputs and provenance'!B3-'Inputs and provenance'!B4))/(1+'Inputs and provenance'!B3)^6</x:f>
        <x:v>22.857972747022526</x:v>
      </x:c>
    </x:row>
    <x:row r="5">
      <x:c r="A5" t="str">
        <x:v>Enterprise value</x:v>
      </x:c>
      <x:c r="B5" t="n">
        <x:f>B3+B4</x:f>
        <x:v>41.88191666779713</x:v>
      </x:c>
    </x:row>
    <x:row r="6">
      <x:c r="A6" t="str">
        <x:v>Less net debt incl lease</x:v>
      </x:c>
      <x:c r="B6" t="n">
        <x:f>-'Inputs and provenance'!B8</x:f>
        <x:v>-7.272728</x:v>
      </x:c>
    </x:row>
    <x:row r="7">
      <x:c r="A7" t="str">
        <x:v>Equity value</x:v>
      </x:c>
      <x:c r="B7" t="n">
        <x:f>B5+B6</x:f>
        <x:v>34.60918866779713</x:v>
      </x:c>
    </x:row>
    <x:row r="8">
      <x:c r="A8" t="str">
        <x:v>Value/share</x:v>
      </x:c>
      <x:c r="B8" t="n">
        <x:f>B7/'Inputs and provenance'!B6</x:f>
        <x:v>8.652297166949282</x:v>
      </x:c>
    </x:row>
    <x:row r="9">
      <x:c r="A9" t="str">
        <x:v>IPO price</x:v>
      </x:c>
      <x:c r="B9" t="n">
        <x:f>'Inputs and provenance'!B7</x:f>
        <x:v>7.5</x:v>
      </x:c>
    </x:row>
    <x:row r="10">
      <x:c r="A10" t="str">
        <x:v>Upside/downside</x:v>
      </x:c>
      <x:c r="B10" t="n">
        <x:f>B8/B9-1</x:f>
        <x:v>0.15363962225990435</x:v>
      </x:c>
    </x:row>
    <x:row r="13">
      <x:c r="A13" t="str">
        <x:v>PRE-LEASE CROSS CHECK</x:v>
      </x:c>
      <x:c r="B13" t="str">
        <x:v>KES bn unless indicated</x:v>
      </x:c>
    </x:row>
    <x:row r="14">
      <x:c r="A14" t="str">
        <x:v>PV explicit pre-lease FCFF</x:v>
      </x:c>
      <x:c r="B14" t="n">
        <x:f>SUM('Operating forecast'!B12/(1+'Inputs and provenance'!B3)^1,'Operating forecast'!C12/(1+'Inputs and provenance'!B3)^2,'Operating forecast'!D12/(1+'Inputs and provenance'!B3)^3,'Operating forecast'!E12/(1+'Inputs and provenance'!B3)^4,'Operating forecast'!F12/(1+'Inputs and provenance'!B3)^5,'Operating forecast'!G12/(1+'Inputs and provenance'!B3)^6)</x:f>
        <x:v>11.674167041129293</x:v>
      </x:c>
    </x:row>
    <x:row r="15">
      <x:c r="A15" t="str">
        <x:v>PV terminal pre-lease</x:v>
      </x:c>
      <x:c r="B15" t="n">
        <x:f>('Operating forecast'!G12*(1+'Inputs and provenance'!B4)/('Inputs and provenance'!B3-'Inputs and provenance'!B4))/(1+'Inputs and provenance'!B3)^6</x:f>
        <x:v>14.700873532986204</x:v>
      </x:c>
    </x:row>
    <x:row r="16">
      <x:c r="A16" t="str">
        <x:v>Pre-lease enterprise value</x:v>
      </x:c>
      <x:c r="B16" t="n">
        <x:f>B14+B15</x:f>
        <x:v>26.375040574115495</x:v>
      </x:c>
    </x:row>
    <x:row r="17">
      <x:c r="A17" t="str">
        <x:v>Less net debt excl leases</x:v>
      </x:c>
      <x:c r="B17" t="n">
        <x:f>-'Inputs and provenance'!B10</x:f>
        <x:v>0.6272720000000005</x:v>
      </x:c>
    </x:row>
    <x:row r="18">
      <x:c r="A18" t="str">
        <x:v>Pre-lease equity value</x:v>
      </x:c>
      <x:c r="B18" t="n">
        <x:f>B16+B17</x:f>
        <x:v>27.002312574115496</x:v>
      </x:c>
    </x:row>
    <x:row r="19">
      <x:c r="A19" t="str">
        <x:v>Pre-lease value/share</x:v>
      </x:c>
      <x:c r="B19" t="n">
        <x:f>B18/'Inputs and provenance'!B6</x:f>
        <x:v>6.750578143528874</x:v>
      </x:c>
    </x:row>
    <x:row r="20">
      <x:c r="A20" t="str">
        <x:v>Cross-check discrepancy</x:v>
      </x:c>
      <x:c r="B20" t="n">
        <x:f>B19-B8</x:f>
        <x:v>-1.9017190234204078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20" hidden="0" customWidth="1"/>
    <x:col min="3" max="3" width="64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6" t="str">
        <x:v>CHECK</x:v>
      </x:c>
      <x:c r="B1" s="6" t="str">
        <x:v>RESULT</x:v>
      </x:c>
      <x:c r="C1" s="6"/>
      <x:c r="D1" s="6"/>
      <x:c r="E1" s="6"/>
      <x:c r="F1" s="6"/>
      <x:c r="G1" s="6"/>
    </x:row>
    <x:row r="2">
      <x:c r="A2" t="str">
        <x:v>Lease liability 30 Jun 2026</x:v>
      </x:c>
      <x:c r="B2" t="str">
        <x:v>~KES 7.9bn (IM p.150), supersedes old KES 7.3bn placeholder</x:v>
      </x:c>
    </x:row>
    <x:row r="3">
      <x:c r="A3" t="str">
        <x:v>Net debt incl lease</x:v>
      </x:c>
      <x:c r="B3" t="str">
        <x:v>KES 7.272728bn IM; different dates/rounding caution</x:v>
      </x:c>
    </x:row>
    <x:row r="4">
      <x:c r="A4" t="str">
        <x:v>Cash rent FY2027</x:v>
      </x:c>
      <x:c r="B4" t="str">
        <x:v>Unverified KES 2.05bn proxy</x:v>
      </x:c>
    </x:row>
    <x:row r="5">
      <x:c r="A5" t="str">
        <x:v>FY2027 working capital</x:v>
      </x:c>
      <x:c r="B5" t="str">
        <x:v>Zero placeholder; supplier credit material</x:v>
      </x:c>
    </x:row>
    <x:row r="6">
      <x:c r="A6" t="str">
        <x:v>Discount rate</x:v>
      </x:c>
      <x:c r="B6" t="str">
        <x:v>16% provisional, NOT validated</x:v>
      </x:c>
    </x:row>
    <x:row r="7">
      <x:c r="A7" t="str">
        <x:v>Forecast horizon</x:v>
      </x:c>
      <x:c r="B7" t="str">
        <x:v>End-2026 valuation, not actual Oct 12 valuation</x:v>
      </x:c>
    </x:row>
    <x:row r="8">
      <x:c r="A8" t="str">
        <x:v>Lease treatment</x:v>
      </x:c>
      <x:c r="B8" t="str">
        <x:v>Both methods have unmatched cash-flow and liability roll-forwards</x:v>
      </x:c>
    </x:row>
    <x:row r="9">
      <x:c r="A9" t="str">
        <x:v>Terminal reinvestment</x:v>
      </x:c>
      <x:c r="B9" t="str">
        <x:v>Not explicitly derived from sustainable terminal ROIC</x:v>
      </x:c>
    </x:row>
    <x:row r="10">
      <x:c r="A10" t="str">
        <x:v>Recommendation</x:v>
      </x:c>
      <x:c r="B10" t="str">
        <x:v>WATCH/DEFER; do not present as final price target</x:v>
      </x:c>
    </x:row>
  </x:sheetData>
  <x:pageMargins left="0.7" right="0.7" top="0.75" bottom="0.75" header="0.3" footer="0.3"/>
</x:worksheet>
</file>